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3121f1c8fff4a1/Barnen/Fotboll/2026/"/>
    </mc:Choice>
  </mc:AlternateContent>
  <xr:revisionPtr revIDLastSave="74" documentId="13_ncr:1_{162264C3-A86B-4EBF-9E05-4244304888EF}" xr6:coauthVersionLast="47" xr6:coauthVersionMax="47" xr10:uidLastSave="{F9B46725-FCE6-4BA8-BCAF-68DB35CECA45}"/>
  <bookViews>
    <workbookView xWindow="-13935" yWindow="-16320" windowWidth="29040" windowHeight="15720" xr2:uid="{00000000-000D-0000-FFFF-FFFF00000000}"/>
  </bookViews>
  <sheets>
    <sheet name="Matcher" sheetId="2" r:id="rId1"/>
  </sheets>
  <definedNames>
    <definedName name="_xlnm._FilterDatabase" localSheetId="0" hidden="1">Matcher!$A$1:$O$64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kc3BdRBUvpzEdKFgdgLjlOsjoi0xw9g4pNOhHK2JUo="/>
    </ext>
  </extLst>
</workbook>
</file>

<file path=xl/calcChain.xml><?xml version="1.0" encoding="utf-8"?>
<calcChain xmlns="http://schemas.openxmlformats.org/spreadsheetml/2006/main">
  <c r="B64" i="2" l="1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ID#AAAB2LD2bdA
Martin Hansson    (2026-03-18 10:13:48)
Lägg in krock typ i matchlistan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gnrE0ypbGWN0ZArOGm34BLtH3Q=="/>
    </ext>
  </extLst>
</comments>
</file>

<file path=xl/sharedStrings.xml><?xml version="1.0" encoding="utf-8"?>
<sst xmlns="http://schemas.openxmlformats.org/spreadsheetml/2006/main" count="424" uniqueCount="126">
  <si>
    <t>Datum</t>
  </si>
  <si>
    <t>Veckodag</t>
  </si>
  <si>
    <t>Krocktyp</t>
  </si>
  <si>
    <t>DAM-VIT</t>
  </si>
  <si>
    <t>DAM-SVART</t>
  </si>
  <si>
    <t>VIT-SVART</t>
  </si>
  <si>
    <t>ALLA TRE (DAM+VIT+SVART)</t>
  </si>
  <si>
    <t>Starttid</t>
  </si>
  <si>
    <t>Lag</t>
  </si>
  <si>
    <t>Tävling</t>
  </si>
  <si>
    <t>MatchNr</t>
  </si>
  <si>
    <t>Omg</t>
  </si>
  <si>
    <t>Hemma/Borta</t>
  </si>
  <si>
    <t>Motstånd</t>
  </si>
  <si>
    <t>Anläggning</t>
  </si>
  <si>
    <t>Tid angiven?</t>
  </si>
  <si>
    <t>Krock (match-datum)</t>
  </si>
  <si>
    <t>Ansvarig ledare</t>
  </si>
  <si>
    <t>Flytt ansvarig</t>
  </si>
  <si>
    <t>Kommentar</t>
  </si>
  <si>
    <t>Ansvarig</t>
  </si>
  <si>
    <t>Dam</t>
  </si>
  <si>
    <t>Träningsmatch</t>
  </si>
  <si>
    <t>Borta</t>
  </si>
  <si>
    <t>Norsktlag</t>
  </si>
  <si>
    <t>Priritet Serneke Arena</t>
  </si>
  <si>
    <t>Lindome GIF (D4D)</t>
  </si>
  <si>
    <t>Tvååkers IF (D4D)</t>
  </si>
  <si>
    <t>Svart</t>
  </si>
  <si>
    <t>Hemma</t>
  </si>
  <si>
    <t>BK Häcken</t>
  </si>
  <si>
    <t>Lindevi</t>
  </si>
  <si>
    <t>ÅSA</t>
  </si>
  <si>
    <t>Vit</t>
  </si>
  <si>
    <t>Kungsbacka</t>
  </si>
  <si>
    <t>20:15:00</t>
  </si>
  <si>
    <t>DAM</t>
  </si>
  <si>
    <t>Division 4A Dam</t>
  </si>
  <si>
    <t>Kållered SK</t>
  </si>
  <si>
    <t>Kållered Sportcenter 1</t>
  </si>
  <si>
    <t>20:00:00</t>
  </si>
  <si>
    <t>SVART</t>
  </si>
  <si>
    <t>Flickor 2010-2011 Lätt Grupp B</t>
  </si>
  <si>
    <t>Surte/Ahlafors</t>
  </si>
  <si>
    <t>Surte 2 Konstgräs</t>
  </si>
  <si>
    <t>JA</t>
  </si>
  <si>
    <t>Henrik</t>
  </si>
  <si>
    <t>Påsklov; Flyttad till tisdag 7e April (Hernik)</t>
  </si>
  <si>
    <t>19:30:00</t>
  </si>
  <si>
    <t>IK Virgo</t>
  </si>
  <si>
    <t>Lindevi IP 1 Konstgräs</t>
  </si>
  <si>
    <t>Påsklov</t>
  </si>
  <si>
    <t>19:00:00</t>
  </si>
  <si>
    <t>VIT</t>
  </si>
  <si>
    <t>Flickor 2010-2011 Lätt Grupp C</t>
  </si>
  <si>
    <t>Lekstorps IF F11/12 vit</t>
  </si>
  <si>
    <t>LP - Idrottspark A - plan</t>
  </si>
  <si>
    <t>Fredrik</t>
  </si>
  <si>
    <t>13:45:00</t>
  </si>
  <si>
    <t>IK Zenith F16 2</t>
  </si>
  <si>
    <t>Tobias</t>
  </si>
  <si>
    <t>Sverige Match; flyttad</t>
  </si>
  <si>
    <t>IF Mölndal Fotboll</t>
  </si>
  <si>
    <t>Åbyvallen 1 Konstgräs</t>
  </si>
  <si>
    <t>Jenni</t>
  </si>
  <si>
    <t>Sverige Match; info dam</t>
  </si>
  <si>
    <t>Älvängens IK F11</t>
  </si>
  <si>
    <t>Anna</t>
  </si>
  <si>
    <t>Nödinge SK Fotboll</t>
  </si>
  <si>
    <t>Vimmervi 2 Konstgräs</t>
  </si>
  <si>
    <t>Magnus</t>
  </si>
  <si>
    <t>Hovås Billdal IF</t>
  </si>
  <si>
    <t>Hovås Billdal Arena 1</t>
  </si>
  <si>
    <t>Flytta ej klara matchen med olika spelare</t>
  </si>
  <si>
    <t>Göteborgs SIF</t>
  </si>
  <si>
    <t>Guldheden Södra 1 Konstgräs</t>
  </si>
  <si>
    <t>Floda BoIF F11</t>
  </si>
  <si>
    <t>BK Häcken F2011 lag 2</t>
  </si>
  <si>
    <t>Martin</t>
  </si>
  <si>
    <t>Martin: Bekräftat byte till 2025-05-02  14:30</t>
  </si>
  <si>
    <t>Donsö IS</t>
  </si>
  <si>
    <t>Azalea BK F2011</t>
  </si>
  <si>
    <t>Bergums IF U-trupp flickor 2011-2012</t>
  </si>
  <si>
    <t>Lerums IS</t>
  </si>
  <si>
    <t>Rydsbergsplan 1 Konstgräs</t>
  </si>
  <si>
    <t>Gbg cup 14-17 maj</t>
  </si>
  <si>
    <t>Onsala BK F2012</t>
  </si>
  <si>
    <t>Näsets SK (B)</t>
  </si>
  <si>
    <t>Särö Kullavik IF</t>
  </si>
  <si>
    <t>Särö IP A</t>
  </si>
  <si>
    <t>IFK Hindås F-11/12</t>
  </si>
  <si>
    <t>Mölnlycke IF</t>
  </si>
  <si>
    <t>Djupedalsplan B Konstgräs</t>
  </si>
  <si>
    <t>Torslanda IK F2011</t>
  </si>
  <si>
    <t>Mossens BK (B)</t>
  </si>
  <si>
    <t>16:15:00</t>
  </si>
  <si>
    <t>Södra Skärgårdens IK F11-12</t>
  </si>
  <si>
    <t>Öjersjö IF</t>
  </si>
  <si>
    <t>Öjersjö IP 1 Konstgräs</t>
  </si>
  <si>
    <t>Örebro cup 13-15 Juni</t>
  </si>
  <si>
    <t>Donsövallen</t>
  </si>
  <si>
    <t>Mossens IP 1 Gräs</t>
  </si>
  <si>
    <t>Gothia  12- 18 Juli</t>
  </si>
  <si>
    <t>Torslandavallen 1 Gräs</t>
  </si>
  <si>
    <t>16:00:00</t>
  </si>
  <si>
    <t>Hovåsvallen 1 Gräs</t>
  </si>
  <si>
    <t>Fagervallen 2 Konstgräs</t>
  </si>
  <si>
    <t>Rydets IP A konstgräs</t>
  </si>
  <si>
    <t>15:30:00</t>
  </si>
  <si>
    <t>Bergumsvallen Konstgräs</t>
  </si>
  <si>
    <t>Slättadamm 2 konstgräs</t>
  </si>
  <si>
    <t>Flodala IP 3 KG</t>
  </si>
  <si>
    <t>Näset Yuncture Arena</t>
  </si>
  <si>
    <t>18:30:00</t>
  </si>
  <si>
    <t>Hovgårdsvallen 2 Konstgräs (Bjurforsplanen)</t>
  </si>
  <si>
    <t>Älvevi 2 Konstgräs</t>
  </si>
  <si>
    <t>18:15:00</t>
  </si>
  <si>
    <t>Valhalla 1 Konstgräs</t>
  </si>
  <si>
    <t>14:15:00</t>
  </si>
  <si>
    <t>HC flyttad Båt 17:05_ 20:30</t>
  </si>
  <si>
    <t>F16</t>
  </si>
  <si>
    <t>Örebrocup dag 1</t>
  </si>
  <si>
    <t>Örebrocup dag 3</t>
  </si>
  <si>
    <t>Örebrocup dag 2</t>
  </si>
  <si>
    <t>Örebro</t>
  </si>
  <si>
    <t>Majvallen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</si>
</sst>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8"/>
      <color rgb="FF00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3" borderId="2" xfId="0" applyFont="1" applyFill="1" applyBorder="1"/>
    <xf numFmtId="21" fontId="2" fillId="0" borderId="0" xfId="0" applyNumberFormat="1" applyFont="1"/>
    <xf numFmtId="0" fontId="2" fillId="4" borderId="2" xfId="0" applyFont="1" applyFill="1" applyBorder="1"/>
    <xf numFmtId="20" fontId="2" fillId="0" borderId="0" xfId="0" applyNumberFormat="1" applyFont="1"/>
    <xf numFmtId="164" fontId="2" fillId="0" borderId="2" xfId="0" applyNumberFormat="1" applyFont="1" applyBorder="1"/>
    <xf numFmtId="164" fontId="2" fillId="4" borderId="0" xfId="0" applyNumberFormat="1" applyFont="1" applyFill="1"/>
    <xf numFmtId="0" fontId="2" fillId="0" borderId="2" xfId="0" applyFont="1" applyBorder="1"/>
    <xf numFmtId="0" fontId="2" fillId="4" borderId="0" xfId="0" applyFont="1" applyFill="1"/>
    <xf numFmtId="0" fontId="3" fillId="0" borderId="2" xfId="0" applyFont="1" applyBorder="1"/>
  </cellXfs>
  <cellStyles count="1">
    <cellStyle name="Normal" xfId="0" builtinId="0"/>
  </cellStyles>
  <dxfs count="1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Q1004"/>
  <sheetViews>
    <sheetView tabSelected="1" topLeftCell="A17" workbookViewId="0">
      <selection activeCell="E68" sqref="E68"/>
    </sheetView>
  </sheetViews>
  <sheetFormatPr defaultColWidth="14.3984375" defaultRowHeight="15" customHeight="1" x14ac:dyDescent="0.45"/>
  <cols>
    <col min="1" max="1" width="21" customWidth="1"/>
    <col min="2" max="2" width="10.796875" bestFit="1" customWidth="1"/>
    <col min="3" max="4" width="10" customWidth="1"/>
    <col min="5" max="5" width="32" customWidth="1"/>
    <col min="6" max="7" width="10" customWidth="1"/>
    <col min="8" max="8" width="13" customWidth="1"/>
    <col min="9" max="9" width="28.1328125" customWidth="1"/>
    <col min="10" max="10" width="29.53125" customWidth="1"/>
    <col min="11" max="11" width="14" hidden="1" customWidth="1"/>
    <col min="12" max="12" width="21" hidden="1" customWidth="1"/>
    <col min="13" max="14" width="21" customWidth="1"/>
    <col min="15" max="15" width="26" customWidth="1"/>
    <col min="16" max="16" width="41" customWidth="1"/>
  </cols>
  <sheetData>
    <row r="1" spans="1:17" ht="14.25" x14ac:dyDescent="0.4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2</v>
      </c>
      <c r="P1" s="1" t="s">
        <v>19</v>
      </c>
      <c r="Q1" s="1" t="s">
        <v>20</v>
      </c>
    </row>
    <row r="2" spans="1:17" ht="14.25" hidden="1" x14ac:dyDescent="0.45">
      <c r="A2" s="2">
        <v>46089</v>
      </c>
      <c r="B2" s="3" t="str">
        <f>IF(A2="","",CHOOSE(WEEKDAY(A2,2),"Måndag","Tisdag","Onsdag","Torsdag","Fredag","Lördag","Söndag"))</f>
        <v>Söndag</v>
      </c>
      <c r="C2" s="4"/>
      <c r="D2" s="3" t="s">
        <v>21</v>
      </c>
      <c r="E2" s="3" t="s">
        <v>22</v>
      </c>
      <c r="F2" s="4"/>
      <c r="G2" s="4"/>
      <c r="H2" s="3" t="s">
        <v>23</v>
      </c>
      <c r="I2" s="3" t="s">
        <v>24</v>
      </c>
      <c r="J2" s="3" t="s">
        <v>25</v>
      </c>
      <c r="K2" s="4"/>
      <c r="L2" s="4"/>
      <c r="M2" s="4"/>
      <c r="N2" s="4"/>
      <c r="O2" s="4"/>
    </row>
    <row r="3" spans="1:17" ht="14.25" hidden="1" x14ac:dyDescent="0.45">
      <c r="A3" s="2">
        <v>46093</v>
      </c>
      <c r="B3" s="3" t="str">
        <f t="shared" ref="B3:B64" si="0">IF(A3="","",CHOOSE(WEEKDAY(A3,2),"Måndag","Tisdag","Onsdag","Torsdag","Fredag","Lördag","Söndag"))</f>
        <v>Torsdag</v>
      </c>
      <c r="C3" s="4"/>
      <c r="D3" s="3" t="s">
        <v>21</v>
      </c>
      <c r="E3" s="3" t="s">
        <v>22</v>
      </c>
      <c r="F3" s="4"/>
      <c r="G3" s="4"/>
      <c r="H3" s="3" t="s">
        <v>26</v>
      </c>
      <c r="I3" s="3" t="s">
        <v>27</v>
      </c>
      <c r="J3" s="4"/>
      <c r="K3" s="4"/>
      <c r="L3" s="4"/>
      <c r="M3" s="4"/>
      <c r="N3" s="4"/>
      <c r="O3" s="4"/>
    </row>
    <row r="4" spans="1:17" ht="14.25" x14ac:dyDescent="0.45">
      <c r="A4" s="2">
        <v>46094</v>
      </c>
      <c r="B4" s="3" t="str">
        <f t="shared" si="0"/>
        <v>Fredag</v>
      </c>
      <c r="C4" s="4"/>
      <c r="D4" s="3" t="s">
        <v>28</v>
      </c>
      <c r="E4" s="5"/>
      <c r="F4" s="4"/>
      <c r="G4" s="4"/>
      <c r="H4" s="3" t="s">
        <v>29</v>
      </c>
      <c r="I4" s="3" t="s">
        <v>30</v>
      </c>
      <c r="J4" s="3" t="s">
        <v>31</v>
      </c>
      <c r="K4" s="4"/>
      <c r="L4" s="4"/>
      <c r="M4" s="4"/>
      <c r="N4" s="4"/>
      <c r="O4" s="4"/>
    </row>
    <row r="5" spans="1:17" ht="14.25" x14ac:dyDescent="0.45">
      <c r="A5" s="2">
        <v>46096</v>
      </c>
      <c r="B5" s="3" t="str">
        <f t="shared" si="0"/>
        <v>Söndag</v>
      </c>
      <c r="C5" s="4"/>
      <c r="D5" s="3" t="s">
        <v>28</v>
      </c>
      <c r="E5" s="3" t="s">
        <v>22</v>
      </c>
      <c r="F5" s="4"/>
      <c r="G5" s="4"/>
      <c r="H5" s="3" t="s">
        <v>23</v>
      </c>
      <c r="I5" s="3" t="s">
        <v>32</v>
      </c>
      <c r="J5" s="4"/>
      <c r="K5" s="4"/>
      <c r="L5" s="4"/>
      <c r="M5" s="4"/>
      <c r="N5" s="4"/>
      <c r="O5" s="4"/>
    </row>
    <row r="6" spans="1:17" ht="14.25" x14ac:dyDescent="0.45">
      <c r="A6" s="2">
        <v>46109</v>
      </c>
      <c r="B6" s="3" t="str">
        <f t="shared" si="0"/>
        <v>Lördag</v>
      </c>
      <c r="C6" s="4"/>
      <c r="D6" s="3" t="s">
        <v>33</v>
      </c>
      <c r="E6" s="3" t="s">
        <v>22</v>
      </c>
      <c r="F6" s="4"/>
      <c r="G6" s="4"/>
      <c r="H6" s="3" t="s">
        <v>29</v>
      </c>
      <c r="I6" s="3" t="s">
        <v>34</v>
      </c>
      <c r="J6" s="4"/>
      <c r="K6" s="4"/>
      <c r="L6" s="4"/>
      <c r="M6" s="4"/>
      <c r="N6" s="4"/>
      <c r="O6" s="4"/>
    </row>
    <row r="7" spans="1:17" ht="14.25" hidden="1" x14ac:dyDescent="0.45">
      <c r="A7" s="2">
        <v>46112</v>
      </c>
      <c r="B7" s="3" t="str">
        <f t="shared" si="0"/>
        <v>Tisdag</v>
      </c>
      <c r="C7" s="3" t="s">
        <v>35</v>
      </c>
      <c r="D7" s="3" t="s">
        <v>36</v>
      </c>
      <c r="E7" s="3" t="s">
        <v>37</v>
      </c>
      <c r="F7" s="3">
        <v>60220006</v>
      </c>
      <c r="G7" s="3">
        <v>1</v>
      </c>
      <c r="H7" s="3" t="s">
        <v>23</v>
      </c>
      <c r="I7" s="3" t="s">
        <v>38</v>
      </c>
      <c r="J7" s="3" t="s">
        <v>39</v>
      </c>
      <c r="K7" s="3" t="b">
        <v>1</v>
      </c>
      <c r="L7" s="4"/>
      <c r="M7" s="4"/>
      <c r="N7" s="4"/>
      <c r="O7" s="4"/>
    </row>
    <row r="8" spans="1:17" ht="14.25" x14ac:dyDescent="0.45">
      <c r="A8" s="2">
        <v>46119</v>
      </c>
      <c r="B8" s="3" t="str">
        <f t="shared" si="0"/>
        <v>Tisdag</v>
      </c>
      <c r="C8" s="3" t="s">
        <v>40</v>
      </c>
      <c r="D8" s="3" t="s">
        <v>41</v>
      </c>
      <c r="E8" s="3" t="s">
        <v>42</v>
      </c>
      <c r="F8" s="3">
        <v>60713002</v>
      </c>
      <c r="G8" s="3">
        <v>1</v>
      </c>
      <c r="H8" s="3" t="s">
        <v>23</v>
      </c>
      <c r="I8" s="3" t="s">
        <v>43</v>
      </c>
      <c r="J8" s="3" t="s">
        <v>44</v>
      </c>
      <c r="K8" s="3" t="b">
        <v>1</v>
      </c>
      <c r="L8" s="3" t="s">
        <v>45</v>
      </c>
      <c r="M8" s="3" t="s">
        <v>46</v>
      </c>
      <c r="N8" s="3" t="s">
        <v>46</v>
      </c>
      <c r="O8" s="3"/>
      <c r="P8" s="3" t="s">
        <v>47</v>
      </c>
    </row>
    <row r="9" spans="1:17" ht="14.25" hidden="1" x14ac:dyDescent="0.45">
      <c r="A9" s="2">
        <v>46120</v>
      </c>
      <c r="B9" s="3" t="str">
        <f t="shared" si="0"/>
        <v>Onsdag</v>
      </c>
      <c r="C9" s="3" t="s">
        <v>48</v>
      </c>
      <c r="D9" s="3" t="s">
        <v>36</v>
      </c>
      <c r="E9" s="3" t="s">
        <v>37</v>
      </c>
      <c r="F9" s="3">
        <v>60220007</v>
      </c>
      <c r="G9" s="3">
        <v>2</v>
      </c>
      <c r="H9" s="3" t="s">
        <v>29</v>
      </c>
      <c r="I9" s="3" t="s">
        <v>49</v>
      </c>
      <c r="J9" s="3" t="s">
        <v>50</v>
      </c>
      <c r="K9" s="3" t="b">
        <v>1</v>
      </c>
      <c r="L9" s="3" t="s">
        <v>45</v>
      </c>
      <c r="M9" s="3"/>
      <c r="N9" s="3"/>
      <c r="O9" s="3"/>
      <c r="P9" s="3" t="s">
        <v>51</v>
      </c>
    </row>
    <row r="10" spans="1:17" ht="14.25" x14ac:dyDescent="0.45">
      <c r="A10" s="2">
        <v>46121</v>
      </c>
      <c r="B10" s="3" t="str">
        <f t="shared" si="0"/>
        <v>Torsdag</v>
      </c>
      <c r="C10" s="3" t="s">
        <v>52</v>
      </c>
      <c r="D10" s="3" t="s">
        <v>53</v>
      </c>
      <c r="E10" s="3" t="s">
        <v>54</v>
      </c>
      <c r="F10" s="3">
        <v>60716004</v>
      </c>
      <c r="G10" s="3">
        <v>1</v>
      </c>
      <c r="H10" s="3" t="s">
        <v>23</v>
      </c>
      <c r="I10" s="3" t="s">
        <v>55</v>
      </c>
      <c r="J10" s="3" t="s">
        <v>56</v>
      </c>
      <c r="K10" s="3" t="b">
        <v>1</v>
      </c>
      <c r="L10" s="4"/>
      <c r="M10" s="4" t="s">
        <v>57</v>
      </c>
      <c r="N10" s="4"/>
      <c r="O10" s="4"/>
      <c r="P10" s="4" t="s">
        <v>51</v>
      </c>
    </row>
    <row r="11" spans="1:17" ht="14.25" hidden="1" x14ac:dyDescent="0.45">
      <c r="A11" s="2">
        <v>46126</v>
      </c>
      <c r="B11" s="3" t="str">
        <f t="shared" si="0"/>
        <v>Tisdag</v>
      </c>
      <c r="C11" s="3" t="s">
        <v>35</v>
      </c>
      <c r="D11" s="3" t="s">
        <v>36</v>
      </c>
      <c r="E11" s="3" t="s">
        <v>37</v>
      </c>
      <c r="F11" s="3">
        <v>60220016</v>
      </c>
      <c r="G11" s="3">
        <v>3</v>
      </c>
      <c r="H11" s="3" t="s">
        <v>23</v>
      </c>
      <c r="I11" s="3" t="s">
        <v>62</v>
      </c>
      <c r="J11" s="3" t="s">
        <v>63</v>
      </c>
      <c r="K11" s="3" t="b">
        <v>1</v>
      </c>
      <c r="L11" s="3" t="s">
        <v>45</v>
      </c>
      <c r="M11" s="3"/>
      <c r="N11" s="3" t="s">
        <v>64</v>
      </c>
      <c r="O11" s="3"/>
      <c r="P11" s="3" t="s">
        <v>61</v>
      </c>
    </row>
    <row r="12" spans="1:17" ht="14.25" x14ac:dyDescent="0.45">
      <c r="A12" s="2">
        <v>46128</v>
      </c>
      <c r="B12" s="3" t="str">
        <f t="shared" si="0"/>
        <v>Torsdag</v>
      </c>
      <c r="C12" s="3" t="s">
        <v>48</v>
      </c>
      <c r="D12" s="3" t="s">
        <v>41</v>
      </c>
      <c r="E12" s="3" t="s">
        <v>42</v>
      </c>
      <c r="F12" s="3">
        <v>60713007</v>
      </c>
      <c r="G12" s="3">
        <v>2</v>
      </c>
      <c r="H12" s="3" t="s">
        <v>29</v>
      </c>
      <c r="I12" s="3" t="s">
        <v>66</v>
      </c>
      <c r="J12" s="3" t="s">
        <v>50</v>
      </c>
      <c r="K12" s="3" t="b">
        <v>1</v>
      </c>
      <c r="L12" s="4"/>
      <c r="M12" s="4" t="s">
        <v>67</v>
      </c>
      <c r="N12" s="4"/>
      <c r="O12" s="4"/>
      <c r="P12" s="3" t="s">
        <v>65</v>
      </c>
    </row>
    <row r="13" spans="1:17" ht="14.25" x14ac:dyDescent="0.45">
      <c r="A13" s="2">
        <v>46130</v>
      </c>
      <c r="B13" s="3" t="str">
        <f t="shared" si="0"/>
        <v>Lördag</v>
      </c>
      <c r="C13" s="3" t="s">
        <v>58</v>
      </c>
      <c r="D13" s="3" t="s">
        <v>53</v>
      </c>
      <c r="E13" s="3" t="s">
        <v>54</v>
      </c>
      <c r="F13" s="3">
        <v>60716005</v>
      </c>
      <c r="G13" s="3">
        <v>2</v>
      </c>
      <c r="H13" s="3" t="s">
        <v>29</v>
      </c>
      <c r="I13" s="3" t="s">
        <v>59</v>
      </c>
      <c r="J13" s="3" t="s">
        <v>50</v>
      </c>
      <c r="K13" s="3" t="b">
        <v>1</v>
      </c>
      <c r="L13" s="3" t="s">
        <v>45</v>
      </c>
      <c r="M13" s="3" t="s">
        <v>60</v>
      </c>
      <c r="N13" s="3" t="s">
        <v>60</v>
      </c>
      <c r="O13" s="3"/>
    </row>
    <row r="14" spans="1:17" ht="14.25" x14ac:dyDescent="0.45">
      <c r="A14" s="2">
        <v>46134</v>
      </c>
      <c r="B14" s="3" t="str">
        <f t="shared" si="0"/>
        <v>Onsdag</v>
      </c>
      <c r="C14" s="3" t="s">
        <v>35</v>
      </c>
      <c r="D14" s="3" t="s">
        <v>41</v>
      </c>
      <c r="E14" s="3" t="s">
        <v>42</v>
      </c>
      <c r="F14" s="3">
        <v>60713009</v>
      </c>
      <c r="G14" s="3">
        <v>3</v>
      </c>
      <c r="H14" s="3" t="s">
        <v>23</v>
      </c>
      <c r="I14" s="3" t="s">
        <v>68</v>
      </c>
      <c r="J14" s="3" t="s">
        <v>69</v>
      </c>
      <c r="K14" s="3" t="b">
        <v>1</v>
      </c>
      <c r="L14" s="4"/>
      <c r="M14" s="4" t="s">
        <v>70</v>
      </c>
      <c r="N14" s="4"/>
      <c r="O14" s="4"/>
    </row>
    <row r="15" spans="1:17" ht="14.25" x14ac:dyDescent="0.45">
      <c r="A15" s="2">
        <v>46136</v>
      </c>
      <c r="B15" s="3" t="str">
        <f t="shared" si="0"/>
        <v>Fredag</v>
      </c>
      <c r="C15" s="3" t="s">
        <v>52</v>
      </c>
      <c r="D15" s="3" t="s">
        <v>53</v>
      </c>
      <c r="E15" s="3" t="s">
        <v>54</v>
      </c>
      <c r="F15" s="3">
        <v>60716011</v>
      </c>
      <c r="G15" s="3">
        <v>3</v>
      </c>
      <c r="H15" s="3" t="s">
        <v>23</v>
      </c>
      <c r="I15" s="3" t="s">
        <v>71</v>
      </c>
      <c r="J15" s="3" t="s">
        <v>72</v>
      </c>
      <c r="K15" s="3" t="b">
        <v>1</v>
      </c>
      <c r="L15" s="3" t="s">
        <v>45</v>
      </c>
      <c r="M15" s="3" t="s">
        <v>64</v>
      </c>
      <c r="N15" s="3"/>
      <c r="O15" s="3" t="s">
        <v>3</v>
      </c>
      <c r="P15" s="3" t="s">
        <v>73</v>
      </c>
    </row>
    <row r="16" spans="1:17" ht="14.25" hidden="1" x14ac:dyDescent="0.45">
      <c r="A16" s="2">
        <v>46140</v>
      </c>
      <c r="B16" s="3" t="str">
        <f t="shared" si="0"/>
        <v>Tisdag</v>
      </c>
      <c r="C16" s="3" t="s">
        <v>35</v>
      </c>
      <c r="D16" s="3" t="s">
        <v>36</v>
      </c>
      <c r="E16" s="3" t="s">
        <v>37</v>
      </c>
      <c r="F16" s="3">
        <v>60220026</v>
      </c>
      <c r="G16" s="3">
        <v>5</v>
      </c>
      <c r="H16" s="3" t="s">
        <v>23</v>
      </c>
      <c r="I16" s="3" t="s">
        <v>74</v>
      </c>
      <c r="J16" s="3" t="s">
        <v>75</v>
      </c>
      <c r="K16" s="3" t="b">
        <v>1</v>
      </c>
      <c r="L16" s="4"/>
      <c r="M16" s="4"/>
      <c r="N16" s="4"/>
      <c r="O16" s="4"/>
      <c r="P16" s="3"/>
    </row>
    <row r="17" spans="1:16" ht="14.25" x14ac:dyDescent="0.45">
      <c r="A17" s="2">
        <v>46141</v>
      </c>
      <c r="B17" s="3" t="str">
        <f t="shared" si="0"/>
        <v>Onsdag</v>
      </c>
      <c r="C17" s="3" t="s">
        <v>48</v>
      </c>
      <c r="D17" s="3" t="s">
        <v>41</v>
      </c>
      <c r="E17" s="3" t="s">
        <v>42</v>
      </c>
      <c r="F17" s="3">
        <v>60713016</v>
      </c>
      <c r="G17" s="3">
        <v>4</v>
      </c>
      <c r="H17" s="3" t="s">
        <v>29</v>
      </c>
      <c r="I17" s="3" t="s">
        <v>76</v>
      </c>
      <c r="J17" s="3" t="s">
        <v>50</v>
      </c>
      <c r="K17" s="3" t="b">
        <v>1</v>
      </c>
      <c r="L17" s="4"/>
      <c r="M17" s="3" t="s">
        <v>46</v>
      </c>
      <c r="N17" s="4"/>
      <c r="O17" s="4"/>
    </row>
    <row r="18" spans="1:16" ht="14.25" x14ac:dyDescent="0.45">
      <c r="A18" s="2">
        <v>46144</v>
      </c>
      <c r="B18" s="3" t="str">
        <f t="shared" si="0"/>
        <v>Lördag</v>
      </c>
      <c r="C18" s="6">
        <v>0.60416666666666663</v>
      </c>
      <c r="D18" s="3" t="s">
        <v>53</v>
      </c>
      <c r="E18" s="3" t="s">
        <v>54</v>
      </c>
      <c r="F18" s="3">
        <v>60716014</v>
      </c>
      <c r="G18" s="3">
        <v>4</v>
      </c>
      <c r="H18" s="3" t="s">
        <v>29</v>
      </c>
      <c r="I18" s="3" t="s">
        <v>77</v>
      </c>
      <c r="J18" s="3" t="s">
        <v>50</v>
      </c>
      <c r="K18" s="3" t="b">
        <v>1</v>
      </c>
      <c r="L18" s="4"/>
      <c r="M18" s="3" t="s">
        <v>78</v>
      </c>
      <c r="N18" s="4"/>
      <c r="O18" s="4"/>
    </row>
    <row r="19" spans="1:16" ht="14.25" hidden="1" x14ac:dyDescent="0.45">
      <c r="A19" s="2">
        <v>46147</v>
      </c>
      <c r="B19" s="3" t="str">
        <f t="shared" si="0"/>
        <v>Tisdag</v>
      </c>
      <c r="C19" s="3" t="s">
        <v>48</v>
      </c>
      <c r="D19" s="3" t="s">
        <v>36</v>
      </c>
      <c r="E19" s="3" t="s">
        <v>37</v>
      </c>
      <c r="F19" s="3">
        <v>60220033</v>
      </c>
      <c r="G19" s="3">
        <v>6</v>
      </c>
      <c r="H19" s="3" t="s">
        <v>29</v>
      </c>
      <c r="I19" s="3" t="s">
        <v>80</v>
      </c>
      <c r="J19" s="3" t="s">
        <v>50</v>
      </c>
      <c r="K19" s="3" t="b">
        <v>1</v>
      </c>
      <c r="L19" s="4"/>
      <c r="M19" s="4"/>
      <c r="N19" s="4"/>
      <c r="O19" s="4"/>
      <c r="P19" s="3" t="s">
        <v>79</v>
      </c>
    </row>
    <row r="20" spans="1:16" ht="14.25" x14ac:dyDescent="0.45">
      <c r="A20" s="2">
        <v>46148</v>
      </c>
      <c r="B20" s="3" t="str">
        <f t="shared" si="0"/>
        <v>Onsdag</v>
      </c>
      <c r="C20" s="6">
        <v>0.82291666666666663</v>
      </c>
      <c r="D20" s="3" t="s">
        <v>53</v>
      </c>
      <c r="E20" s="3" t="s">
        <v>54</v>
      </c>
      <c r="F20" s="3">
        <v>60716017</v>
      </c>
      <c r="G20" s="3">
        <v>5</v>
      </c>
      <c r="H20" s="3" t="s">
        <v>23</v>
      </c>
      <c r="I20" s="3" t="s">
        <v>81</v>
      </c>
      <c r="J20" s="3" t="s">
        <v>125</v>
      </c>
      <c r="K20" s="3" t="b">
        <v>1</v>
      </c>
      <c r="L20" s="4"/>
      <c r="M20" s="3" t="s">
        <v>57</v>
      </c>
      <c r="N20" s="4"/>
      <c r="O20" s="4"/>
    </row>
    <row r="21" spans="1:16" ht="15.75" customHeight="1" x14ac:dyDescent="0.45">
      <c r="A21" s="2">
        <v>46149</v>
      </c>
      <c r="B21" s="3" t="str">
        <f t="shared" si="0"/>
        <v>Torsdag</v>
      </c>
      <c r="C21" s="3" t="s">
        <v>48</v>
      </c>
      <c r="D21" s="3" t="s">
        <v>41</v>
      </c>
      <c r="E21" s="3" t="s">
        <v>42</v>
      </c>
      <c r="F21" s="3">
        <v>60713019</v>
      </c>
      <c r="G21" s="3">
        <v>5</v>
      </c>
      <c r="H21" s="3" t="s">
        <v>29</v>
      </c>
      <c r="I21" s="3" t="s">
        <v>82</v>
      </c>
      <c r="J21" s="3" t="s">
        <v>50</v>
      </c>
      <c r="K21" s="3" t="b">
        <v>1</v>
      </c>
      <c r="L21" s="4"/>
      <c r="M21" s="3" t="s">
        <v>67</v>
      </c>
      <c r="N21" s="4"/>
      <c r="O21" s="4"/>
    </row>
    <row r="22" spans="1:16" ht="15.75" hidden="1" customHeight="1" x14ac:dyDescent="0.45">
      <c r="A22" s="2">
        <v>46153</v>
      </c>
      <c r="B22" s="3" t="str">
        <f t="shared" si="0"/>
        <v>Måndag</v>
      </c>
      <c r="C22" s="6">
        <v>0.82291666666666663</v>
      </c>
      <c r="D22" s="3" t="s">
        <v>36</v>
      </c>
      <c r="E22" s="3" t="s">
        <v>37</v>
      </c>
      <c r="F22" s="3">
        <v>60220020</v>
      </c>
      <c r="G22" s="3">
        <v>4</v>
      </c>
      <c r="H22" s="3" t="s">
        <v>29</v>
      </c>
      <c r="I22" s="3" t="s">
        <v>71</v>
      </c>
      <c r="J22" s="3" t="s">
        <v>50</v>
      </c>
      <c r="K22" s="3" t="b">
        <v>1</v>
      </c>
      <c r="L22" s="3" t="s">
        <v>45</v>
      </c>
      <c r="M22" s="3"/>
      <c r="N22" s="3"/>
      <c r="O22" s="3"/>
    </row>
    <row r="23" spans="1:16" ht="15.75" customHeight="1" x14ac:dyDescent="0.45">
      <c r="A23" s="2">
        <v>46153</v>
      </c>
      <c r="B23" s="3" t="str">
        <f t="shared" si="0"/>
        <v>Måndag</v>
      </c>
      <c r="C23" s="6">
        <v>0.84375</v>
      </c>
      <c r="D23" s="3" t="s">
        <v>41</v>
      </c>
      <c r="E23" s="3" t="s">
        <v>42</v>
      </c>
      <c r="F23" s="3">
        <v>60713024</v>
      </c>
      <c r="G23" s="3">
        <v>6</v>
      </c>
      <c r="H23" s="3" t="s">
        <v>23</v>
      </c>
      <c r="I23" s="3" t="s">
        <v>83</v>
      </c>
      <c r="J23" s="3" t="s">
        <v>84</v>
      </c>
      <c r="K23" s="3" t="b">
        <v>1</v>
      </c>
      <c r="L23" s="4"/>
      <c r="M23" s="3" t="s">
        <v>70</v>
      </c>
      <c r="N23" s="4"/>
      <c r="O23" s="4" t="s">
        <v>4</v>
      </c>
      <c r="P23" s="4" t="s">
        <v>85</v>
      </c>
    </row>
    <row r="24" spans="1:16" ht="15.75" customHeight="1" x14ac:dyDescent="0.45">
      <c r="A24" s="2">
        <v>46157</v>
      </c>
      <c r="B24" s="3" t="str">
        <f t="shared" si="0"/>
        <v>Fredag</v>
      </c>
      <c r="C24" s="3" t="s">
        <v>48</v>
      </c>
      <c r="D24" s="3" t="s">
        <v>53</v>
      </c>
      <c r="E24" s="3" t="s">
        <v>54</v>
      </c>
      <c r="F24" s="3">
        <v>60716023</v>
      </c>
      <c r="G24" s="3">
        <v>6</v>
      </c>
      <c r="H24" s="3" t="s">
        <v>29</v>
      </c>
      <c r="I24" s="3" t="s">
        <v>86</v>
      </c>
      <c r="J24" s="3" t="s">
        <v>50</v>
      </c>
      <c r="K24" s="3" t="b">
        <v>1</v>
      </c>
      <c r="L24" s="4"/>
      <c r="M24" s="3" t="s">
        <v>60</v>
      </c>
      <c r="N24" s="4"/>
      <c r="O24" s="4"/>
      <c r="P24" s="4" t="s">
        <v>85</v>
      </c>
    </row>
    <row r="25" spans="1:16" ht="15.75" hidden="1" customHeight="1" x14ac:dyDescent="0.45">
      <c r="A25" s="2">
        <v>46160</v>
      </c>
      <c r="B25" s="3" t="str">
        <f t="shared" si="0"/>
        <v>Måndag</v>
      </c>
      <c r="C25" s="3" t="s">
        <v>48</v>
      </c>
      <c r="D25" s="3" t="s">
        <v>36</v>
      </c>
      <c r="E25" s="3" t="s">
        <v>37</v>
      </c>
      <c r="F25" s="3">
        <v>60220046</v>
      </c>
      <c r="G25" s="3">
        <v>8</v>
      </c>
      <c r="H25" s="3" t="s">
        <v>29</v>
      </c>
      <c r="I25" s="3" t="s">
        <v>87</v>
      </c>
      <c r="J25" s="3" t="s">
        <v>50</v>
      </c>
      <c r="K25" s="3" t="b">
        <v>1</v>
      </c>
      <c r="L25" s="4"/>
      <c r="M25" s="4"/>
      <c r="N25" s="4"/>
      <c r="O25" s="4"/>
    </row>
    <row r="26" spans="1:16" ht="15.75" customHeight="1" x14ac:dyDescent="0.45">
      <c r="A26" s="2">
        <v>46162</v>
      </c>
      <c r="B26" s="3" t="str">
        <f t="shared" si="0"/>
        <v>Onsdag</v>
      </c>
      <c r="C26" s="3" t="s">
        <v>52</v>
      </c>
      <c r="D26" s="3" t="s">
        <v>53</v>
      </c>
      <c r="E26" s="3" t="s">
        <v>54</v>
      </c>
      <c r="F26" s="3">
        <v>60716027</v>
      </c>
      <c r="G26" s="3">
        <v>7</v>
      </c>
      <c r="H26" s="3" t="s">
        <v>23</v>
      </c>
      <c r="I26" s="3" t="s">
        <v>88</v>
      </c>
      <c r="J26" s="3" t="s">
        <v>89</v>
      </c>
      <c r="K26" s="3" t="b">
        <v>1</v>
      </c>
      <c r="L26" s="4"/>
      <c r="M26" s="3" t="s">
        <v>64</v>
      </c>
      <c r="N26" s="4"/>
      <c r="O26" s="4"/>
    </row>
    <row r="27" spans="1:16" ht="15.75" customHeight="1" x14ac:dyDescent="0.45">
      <c r="A27" s="2">
        <v>46163</v>
      </c>
      <c r="B27" s="3" t="str">
        <f t="shared" si="0"/>
        <v>Torsdag</v>
      </c>
      <c r="C27" s="3" t="s">
        <v>48</v>
      </c>
      <c r="D27" s="3" t="s">
        <v>41</v>
      </c>
      <c r="E27" s="3" t="s">
        <v>42</v>
      </c>
      <c r="F27" s="3">
        <v>60713027</v>
      </c>
      <c r="G27" s="3">
        <v>7</v>
      </c>
      <c r="H27" s="3" t="s">
        <v>29</v>
      </c>
      <c r="I27" s="3" t="s">
        <v>90</v>
      </c>
      <c r="J27" s="3" t="s">
        <v>50</v>
      </c>
      <c r="K27" s="3" t="b">
        <v>1</v>
      </c>
      <c r="L27" s="4"/>
      <c r="M27" s="3" t="s">
        <v>46</v>
      </c>
      <c r="N27" s="4"/>
      <c r="O27" s="4"/>
    </row>
    <row r="28" spans="1:16" ht="15.75" customHeight="1" x14ac:dyDescent="0.45">
      <c r="A28" s="2">
        <v>46168</v>
      </c>
      <c r="B28" s="3" t="str">
        <f t="shared" si="0"/>
        <v>Tisdag</v>
      </c>
      <c r="C28" s="6">
        <v>0.76041666666666663</v>
      </c>
      <c r="D28" s="3" t="s">
        <v>41</v>
      </c>
      <c r="E28" s="3" t="s">
        <v>42</v>
      </c>
      <c r="F28" s="3">
        <v>60713039</v>
      </c>
      <c r="G28" s="3">
        <v>10</v>
      </c>
      <c r="H28" s="3" t="s">
        <v>23</v>
      </c>
      <c r="I28" s="3" t="s">
        <v>96</v>
      </c>
      <c r="J28" s="3" t="s">
        <v>100</v>
      </c>
      <c r="K28" s="3" t="b">
        <v>1</v>
      </c>
      <c r="L28" s="3" t="s">
        <v>45</v>
      </c>
      <c r="M28" s="3" t="s">
        <v>70</v>
      </c>
      <c r="N28" s="3" t="s">
        <v>46</v>
      </c>
      <c r="O28" s="3"/>
    </row>
    <row r="29" spans="1:16" ht="15.75" hidden="1" customHeight="1" x14ac:dyDescent="0.45">
      <c r="A29" s="2">
        <v>46170</v>
      </c>
      <c r="B29" s="3" t="str">
        <f t="shared" si="0"/>
        <v>Torsdag</v>
      </c>
      <c r="C29" s="3" t="s">
        <v>40</v>
      </c>
      <c r="D29" s="3" t="s">
        <v>36</v>
      </c>
      <c r="E29" s="3" t="s">
        <v>37</v>
      </c>
      <c r="F29" s="3">
        <v>60220052</v>
      </c>
      <c r="G29" s="3">
        <v>9</v>
      </c>
      <c r="H29" s="3" t="s">
        <v>23</v>
      </c>
      <c r="I29" s="3" t="s">
        <v>91</v>
      </c>
      <c r="J29" s="3" t="s">
        <v>92</v>
      </c>
      <c r="K29" s="3" t="b">
        <v>1</v>
      </c>
      <c r="L29" s="4"/>
      <c r="M29" s="4"/>
      <c r="N29" s="4"/>
      <c r="O29" s="4"/>
    </row>
    <row r="30" spans="1:16" ht="15.75" customHeight="1" x14ac:dyDescent="0.45">
      <c r="A30" s="2">
        <v>46171</v>
      </c>
      <c r="B30" s="3" t="str">
        <f t="shared" si="0"/>
        <v>Fredag</v>
      </c>
      <c r="C30" s="3" t="s">
        <v>48</v>
      </c>
      <c r="D30" s="3" t="s">
        <v>53</v>
      </c>
      <c r="E30" s="3" t="s">
        <v>54</v>
      </c>
      <c r="F30" s="3">
        <v>60716032</v>
      </c>
      <c r="G30" s="3">
        <v>8</v>
      </c>
      <c r="H30" s="3" t="s">
        <v>29</v>
      </c>
      <c r="I30" s="3" t="s">
        <v>93</v>
      </c>
      <c r="J30" s="3" t="s">
        <v>50</v>
      </c>
      <c r="K30" s="3" t="b">
        <v>1</v>
      </c>
      <c r="L30" s="4"/>
      <c r="M30" s="3" t="s">
        <v>78</v>
      </c>
      <c r="N30" s="4"/>
      <c r="O30" s="4"/>
    </row>
    <row r="31" spans="1:16" ht="15.75" hidden="1" customHeight="1" x14ac:dyDescent="0.45">
      <c r="A31" s="2">
        <v>46175</v>
      </c>
      <c r="B31" s="3" t="str">
        <f t="shared" si="0"/>
        <v>Tisdag</v>
      </c>
      <c r="C31" s="3" t="s">
        <v>48</v>
      </c>
      <c r="D31" s="3" t="s">
        <v>36</v>
      </c>
      <c r="E31" s="3" t="s">
        <v>37</v>
      </c>
      <c r="F31" s="3">
        <v>60220060</v>
      </c>
      <c r="G31" s="3">
        <v>10</v>
      </c>
      <c r="H31" s="3" t="s">
        <v>29</v>
      </c>
      <c r="I31" s="3" t="s">
        <v>94</v>
      </c>
      <c r="J31" s="3" t="s">
        <v>50</v>
      </c>
      <c r="K31" s="3" t="b">
        <v>1</v>
      </c>
      <c r="L31" s="4"/>
      <c r="M31" s="4"/>
      <c r="N31" s="4"/>
      <c r="O31" s="4"/>
    </row>
    <row r="32" spans="1:16" ht="15.75" customHeight="1" x14ac:dyDescent="0.45">
      <c r="A32" s="2">
        <v>46180</v>
      </c>
      <c r="B32" s="3" t="str">
        <f t="shared" si="0"/>
        <v>Söndag</v>
      </c>
      <c r="C32" s="3" t="s">
        <v>95</v>
      </c>
      <c r="D32" s="3" t="s">
        <v>41</v>
      </c>
      <c r="E32" s="3" t="s">
        <v>42</v>
      </c>
      <c r="F32" s="3">
        <v>60713035</v>
      </c>
      <c r="G32" s="3">
        <v>9</v>
      </c>
      <c r="H32" s="3" t="s">
        <v>29</v>
      </c>
      <c r="I32" s="3" t="s">
        <v>96</v>
      </c>
      <c r="J32" s="3" t="s">
        <v>50</v>
      </c>
      <c r="K32" s="3" t="b">
        <v>1</v>
      </c>
      <c r="L32" s="4"/>
      <c r="M32" s="3" t="s">
        <v>67</v>
      </c>
      <c r="N32" s="4"/>
      <c r="O32" s="4"/>
      <c r="P32" s="3" t="s">
        <v>99</v>
      </c>
    </row>
    <row r="33" spans="1:17" ht="15.75" hidden="1" customHeight="1" x14ac:dyDescent="0.45">
      <c r="A33" s="2">
        <v>46186</v>
      </c>
      <c r="B33" s="3" t="str">
        <f t="shared" si="0"/>
        <v>Lördag</v>
      </c>
      <c r="C33" s="3"/>
      <c r="D33" s="3" t="s">
        <v>120</v>
      </c>
      <c r="E33" s="3" t="s">
        <v>121</v>
      </c>
      <c r="F33" s="3"/>
      <c r="G33" s="3"/>
      <c r="H33" s="3"/>
      <c r="I33" s="3"/>
      <c r="J33" s="3" t="s">
        <v>124</v>
      </c>
      <c r="K33" s="3"/>
      <c r="L33" s="3"/>
      <c r="M33" s="3"/>
      <c r="N33" s="3"/>
      <c r="O33" s="3"/>
      <c r="P33" s="3"/>
    </row>
    <row r="34" spans="1:17" ht="15.75" hidden="1" customHeight="1" x14ac:dyDescent="0.45">
      <c r="A34" s="2">
        <v>46187</v>
      </c>
      <c r="B34" s="3" t="str">
        <f t="shared" si="0"/>
        <v>Söndag</v>
      </c>
      <c r="C34" s="3"/>
      <c r="D34" s="3" t="s">
        <v>120</v>
      </c>
      <c r="E34" s="3" t="s">
        <v>123</v>
      </c>
      <c r="F34" s="3"/>
      <c r="G34" s="3"/>
      <c r="H34" s="3"/>
      <c r="I34" s="3"/>
      <c r="J34" s="3" t="s">
        <v>124</v>
      </c>
      <c r="K34" s="3"/>
      <c r="L34" s="3"/>
      <c r="M34" s="3"/>
      <c r="N34" s="3"/>
      <c r="O34" s="3"/>
      <c r="P34" s="3"/>
    </row>
    <row r="35" spans="1:17" ht="15.75" hidden="1" customHeight="1" x14ac:dyDescent="0.45">
      <c r="A35" s="2">
        <v>46188</v>
      </c>
      <c r="B35" s="3" t="str">
        <f t="shared" si="0"/>
        <v>Måndag</v>
      </c>
      <c r="C35" s="3"/>
      <c r="D35" s="3" t="s">
        <v>120</v>
      </c>
      <c r="E35" s="3" t="s">
        <v>122</v>
      </c>
      <c r="F35" s="3"/>
      <c r="G35" s="3"/>
      <c r="H35" s="3"/>
      <c r="I35" s="3"/>
      <c r="J35" s="3" t="s">
        <v>124</v>
      </c>
      <c r="K35" s="3"/>
      <c r="L35" s="3"/>
      <c r="M35" s="3"/>
      <c r="N35" s="3"/>
      <c r="O35" s="3"/>
      <c r="P35" s="3"/>
    </row>
    <row r="36" spans="1:17" ht="15.75" hidden="1" customHeight="1" x14ac:dyDescent="0.45">
      <c r="A36" s="2">
        <v>46189</v>
      </c>
      <c r="B36" s="3" t="str">
        <f t="shared" si="0"/>
        <v>Tisdag</v>
      </c>
      <c r="C36" s="3" t="s">
        <v>48</v>
      </c>
      <c r="D36" s="3" t="s">
        <v>36</v>
      </c>
      <c r="E36" s="3" t="s">
        <v>37</v>
      </c>
      <c r="F36" s="3">
        <v>60220067</v>
      </c>
      <c r="G36" s="3">
        <v>12</v>
      </c>
      <c r="H36" s="3" t="s">
        <v>29</v>
      </c>
      <c r="I36" s="3" t="s">
        <v>38</v>
      </c>
      <c r="J36" s="3" t="s">
        <v>50</v>
      </c>
      <c r="K36" s="3" t="b">
        <v>1</v>
      </c>
      <c r="L36" s="4"/>
      <c r="M36" s="4"/>
      <c r="N36" s="4"/>
      <c r="O36" s="4"/>
      <c r="P36" s="3" t="s">
        <v>119</v>
      </c>
    </row>
    <row r="37" spans="1:17" ht="15.75" hidden="1" customHeight="1" x14ac:dyDescent="0.45">
      <c r="A37" s="2">
        <v>46196</v>
      </c>
      <c r="B37" s="3" t="str">
        <f t="shared" si="0"/>
        <v>Tisdag</v>
      </c>
      <c r="C37" s="3" t="s">
        <v>52</v>
      </c>
      <c r="D37" s="3" t="s">
        <v>36</v>
      </c>
      <c r="E37" s="3" t="s">
        <v>37</v>
      </c>
      <c r="F37" s="3">
        <v>60220077</v>
      </c>
      <c r="G37" s="3">
        <v>13</v>
      </c>
      <c r="H37" s="3" t="s">
        <v>23</v>
      </c>
      <c r="I37" s="3" t="s">
        <v>49</v>
      </c>
      <c r="J37" s="3" t="s">
        <v>101</v>
      </c>
      <c r="K37" s="3" t="b">
        <v>1</v>
      </c>
      <c r="L37" s="4"/>
      <c r="M37" s="4"/>
      <c r="N37" s="4"/>
      <c r="O37" s="4"/>
      <c r="P37" s="4" t="s">
        <v>99</v>
      </c>
    </row>
    <row r="38" spans="1:17" ht="15.75" hidden="1" customHeight="1" x14ac:dyDescent="0.45">
      <c r="A38" s="2">
        <v>46245</v>
      </c>
      <c r="B38" s="3" t="str">
        <f t="shared" si="0"/>
        <v>Tisdag</v>
      </c>
      <c r="C38" s="3" t="s">
        <v>48</v>
      </c>
      <c r="D38" s="3" t="s">
        <v>36</v>
      </c>
      <c r="E38" s="3" t="s">
        <v>37</v>
      </c>
      <c r="F38" s="3">
        <v>60220080</v>
      </c>
      <c r="G38" s="3">
        <v>14</v>
      </c>
      <c r="H38" s="3" t="s">
        <v>29</v>
      </c>
      <c r="I38" s="3" t="s">
        <v>62</v>
      </c>
      <c r="J38" s="3" t="s">
        <v>50</v>
      </c>
      <c r="K38" s="3" t="b">
        <v>1</v>
      </c>
      <c r="L38" s="4"/>
      <c r="M38" s="4"/>
      <c r="N38" s="4"/>
      <c r="O38" s="4"/>
    </row>
    <row r="39" spans="1:17" ht="15.75" customHeight="1" x14ac:dyDescent="0.45">
      <c r="A39" s="9">
        <v>46252</v>
      </c>
      <c r="B39" s="11" t="str">
        <f t="shared" si="0"/>
        <v>Tisdag</v>
      </c>
      <c r="C39" s="11" t="s">
        <v>52</v>
      </c>
      <c r="D39" s="11" t="s">
        <v>53</v>
      </c>
      <c r="E39" s="11" t="s">
        <v>54</v>
      </c>
      <c r="F39" s="11">
        <v>60716043</v>
      </c>
      <c r="G39" s="11">
        <v>11</v>
      </c>
      <c r="H39" s="11" t="s">
        <v>23</v>
      </c>
      <c r="I39" s="11" t="s">
        <v>93</v>
      </c>
      <c r="J39" s="11" t="s">
        <v>103</v>
      </c>
      <c r="K39" s="11" t="b">
        <v>1</v>
      </c>
      <c r="L39" s="13"/>
      <c r="M39" s="11" t="s">
        <v>57</v>
      </c>
      <c r="N39" s="13"/>
      <c r="O39" s="13"/>
      <c r="P39" s="7"/>
      <c r="Q39" s="7"/>
    </row>
    <row r="40" spans="1:17" ht="15.75" hidden="1" customHeight="1" x14ac:dyDescent="0.45">
      <c r="A40" s="2">
        <v>46257</v>
      </c>
      <c r="B40" s="3" t="str">
        <f t="shared" si="0"/>
        <v>Söndag</v>
      </c>
      <c r="C40" s="3" t="s">
        <v>104</v>
      </c>
      <c r="D40" s="3" t="s">
        <v>36</v>
      </c>
      <c r="E40" s="3" t="s">
        <v>37</v>
      </c>
      <c r="F40" s="3">
        <v>60220087</v>
      </c>
      <c r="G40" s="3">
        <v>15</v>
      </c>
      <c r="H40" s="3" t="s">
        <v>23</v>
      </c>
      <c r="I40" s="3" t="s">
        <v>71</v>
      </c>
      <c r="J40" s="3" t="s">
        <v>105</v>
      </c>
      <c r="K40" s="3" t="b">
        <v>1</v>
      </c>
      <c r="L40" s="4"/>
      <c r="M40" s="4"/>
      <c r="N40" s="4"/>
      <c r="O40" s="4"/>
      <c r="P40" s="4" t="s">
        <v>102</v>
      </c>
    </row>
    <row r="41" spans="1:17" ht="15.75" hidden="1" customHeight="1" x14ac:dyDescent="0.45">
      <c r="A41" s="9">
        <v>46265</v>
      </c>
      <c r="B41" s="11" t="str">
        <f t="shared" si="0"/>
        <v>Måndag</v>
      </c>
      <c r="C41" s="11" t="s">
        <v>48</v>
      </c>
      <c r="D41" s="11" t="s">
        <v>36</v>
      </c>
      <c r="E41" s="11" t="s">
        <v>37</v>
      </c>
      <c r="F41" s="11">
        <v>60220093</v>
      </c>
      <c r="G41" s="11">
        <v>16</v>
      </c>
      <c r="H41" s="11" t="s">
        <v>29</v>
      </c>
      <c r="I41" s="11" t="s">
        <v>74</v>
      </c>
      <c r="J41" s="11" t="s">
        <v>50</v>
      </c>
      <c r="K41" s="11" t="b">
        <v>1</v>
      </c>
      <c r="L41" s="13"/>
      <c r="M41" s="13"/>
      <c r="N41" s="13"/>
      <c r="O41" s="13"/>
      <c r="P41" s="7"/>
      <c r="Q41" s="7"/>
    </row>
    <row r="42" spans="1:17" ht="15.75" customHeight="1" x14ac:dyDescent="0.45">
      <c r="A42" s="2">
        <v>46260</v>
      </c>
      <c r="B42" s="3" t="str">
        <f t="shared" si="0"/>
        <v>Onsdag</v>
      </c>
      <c r="C42" s="3" t="s">
        <v>40</v>
      </c>
      <c r="D42" s="3" t="s">
        <v>41</v>
      </c>
      <c r="E42" s="3" t="s">
        <v>42</v>
      </c>
      <c r="F42" s="3">
        <v>60713048</v>
      </c>
      <c r="G42" s="3">
        <v>12</v>
      </c>
      <c r="H42" s="3" t="s">
        <v>23</v>
      </c>
      <c r="I42" s="3" t="s">
        <v>90</v>
      </c>
      <c r="J42" s="3" t="s">
        <v>106</v>
      </c>
      <c r="K42" s="3" t="b">
        <v>1</v>
      </c>
      <c r="L42" s="4"/>
      <c r="M42" s="3" t="s">
        <v>46</v>
      </c>
      <c r="N42" s="4"/>
      <c r="O42" s="4"/>
    </row>
    <row r="43" spans="1:17" ht="15.75" customHeight="1" x14ac:dyDescent="0.45">
      <c r="A43" s="2">
        <v>46261</v>
      </c>
      <c r="B43" s="3" t="str">
        <f t="shared" si="0"/>
        <v>Torsdag</v>
      </c>
      <c r="C43" s="3" t="s">
        <v>48</v>
      </c>
      <c r="D43" s="3" t="s">
        <v>53</v>
      </c>
      <c r="E43" s="3" t="s">
        <v>54</v>
      </c>
      <c r="F43" s="3">
        <v>60716048</v>
      </c>
      <c r="G43" s="3">
        <v>12</v>
      </c>
      <c r="H43" s="3" t="s">
        <v>29</v>
      </c>
      <c r="I43" s="3" t="s">
        <v>88</v>
      </c>
      <c r="J43" s="3" t="s">
        <v>50</v>
      </c>
      <c r="K43" s="3" t="b">
        <v>1</v>
      </c>
      <c r="L43" s="4"/>
      <c r="M43" s="3" t="s">
        <v>60</v>
      </c>
      <c r="N43" s="4"/>
      <c r="O43" s="4"/>
    </row>
    <row r="44" spans="1:17" ht="15.75" customHeight="1" x14ac:dyDescent="0.45">
      <c r="A44" s="2">
        <v>46266</v>
      </c>
      <c r="B44" s="3" t="str">
        <f t="shared" si="0"/>
        <v>Tisdag</v>
      </c>
      <c r="C44" s="3" t="s">
        <v>52</v>
      </c>
      <c r="D44" s="3" t="s">
        <v>53</v>
      </c>
      <c r="E44" s="3" t="s">
        <v>54</v>
      </c>
      <c r="F44" s="3">
        <v>60716052</v>
      </c>
      <c r="G44" s="3">
        <v>13</v>
      </c>
      <c r="H44" s="3" t="s">
        <v>23</v>
      </c>
      <c r="I44" s="3" t="s">
        <v>86</v>
      </c>
      <c r="J44" s="3" t="s">
        <v>107</v>
      </c>
      <c r="K44" s="3" t="b">
        <v>0</v>
      </c>
      <c r="L44" s="3" t="s">
        <v>45</v>
      </c>
      <c r="M44" s="3" t="s">
        <v>64</v>
      </c>
      <c r="N44" s="3"/>
      <c r="O44" s="3"/>
    </row>
    <row r="45" spans="1:17" ht="15.75" customHeight="1" x14ac:dyDescent="0.45">
      <c r="A45" s="2">
        <v>46267</v>
      </c>
      <c r="B45" s="3" t="str">
        <f t="shared" si="0"/>
        <v>Onsdag</v>
      </c>
      <c r="C45" s="3" t="s">
        <v>48</v>
      </c>
      <c r="D45" s="3" t="s">
        <v>41</v>
      </c>
      <c r="E45" s="3" t="s">
        <v>42</v>
      </c>
      <c r="F45" s="3">
        <v>60713051</v>
      </c>
      <c r="G45" s="3">
        <v>13</v>
      </c>
      <c r="H45" s="3" t="s">
        <v>29</v>
      </c>
      <c r="I45" s="3" t="s">
        <v>83</v>
      </c>
      <c r="J45" s="3" t="s">
        <v>50</v>
      </c>
      <c r="K45" s="3" t="b">
        <v>1</v>
      </c>
      <c r="L45" s="3" t="s">
        <v>45</v>
      </c>
      <c r="M45" s="3" t="s">
        <v>67</v>
      </c>
      <c r="N45" s="3"/>
      <c r="O45" s="3"/>
    </row>
    <row r="46" spans="1:17" ht="15.75" hidden="1" customHeight="1" x14ac:dyDescent="0.45">
      <c r="A46" s="2">
        <v>46271</v>
      </c>
      <c r="B46" s="3" t="str">
        <f t="shared" si="0"/>
        <v>Söndag</v>
      </c>
      <c r="C46" s="3" t="s">
        <v>108</v>
      </c>
      <c r="D46" s="3" t="s">
        <v>36</v>
      </c>
      <c r="E46" s="3" t="s">
        <v>37</v>
      </c>
      <c r="F46" s="3">
        <v>60220097</v>
      </c>
      <c r="G46" s="3">
        <v>17</v>
      </c>
      <c r="H46" s="3" t="s">
        <v>23</v>
      </c>
      <c r="I46" s="3" t="s">
        <v>80</v>
      </c>
      <c r="J46" s="3" t="s">
        <v>100</v>
      </c>
      <c r="K46" s="3" t="b">
        <v>1</v>
      </c>
      <c r="L46" s="4"/>
      <c r="M46" s="4"/>
      <c r="N46" s="4"/>
      <c r="O46" s="4"/>
    </row>
    <row r="47" spans="1:17" ht="15.75" customHeight="1" x14ac:dyDescent="0.45">
      <c r="A47" s="2">
        <v>46273</v>
      </c>
      <c r="B47" s="3" t="str">
        <f t="shared" si="0"/>
        <v>Tisdag</v>
      </c>
      <c r="C47" s="3" t="s">
        <v>48</v>
      </c>
      <c r="D47" s="3" t="s">
        <v>53</v>
      </c>
      <c r="E47" s="3" t="s">
        <v>54</v>
      </c>
      <c r="F47" s="3">
        <v>60716055</v>
      </c>
      <c r="G47" s="3">
        <v>14</v>
      </c>
      <c r="H47" s="3" t="s">
        <v>29</v>
      </c>
      <c r="I47" s="3" t="s">
        <v>81</v>
      </c>
      <c r="J47" s="3" t="s">
        <v>50</v>
      </c>
      <c r="K47" s="3" t="b">
        <v>1</v>
      </c>
      <c r="L47" s="3" t="s">
        <v>45</v>
      </c>
      <c r="M47" s="3" t="s">
        <v>78</v>
      </c>
      <c r="N47" s="3"/>
      <c r="O47" s="3"/>
    </row>
    <row r="48" spans="1:17" ht="15.75" customHeight="1" x14ac:dyDescent="0.45">
      <c r="A48" s="2">
        <v>46275</v>
      </c>
      <c r="B48" s="3" t="str">
        <f t="shared" si="0"/>
        <v>Torsdag</v>
      </c>
      <c r="C48" s="3" t="s">
        <v>40</v>
      </c>
      <c r="D48" s="3" t="s">
        <v>41</v>
      </c>
      <c r="E48" s="3" t="s">
        <v>42</v>
      </c>
      <c r="F48" s="3">
        <v>60713054</v>
      </c>
      <c r="G48" s="3">
        <v>14</v>
      </c>
      <c r="H48" s="3" t="s">
        <v>23</v>
      </c>
      <c r="I48" s="3" t="s">
        <v>82</v>
      </c>
      <c r="J48" s="3" t="s">
        <v>109</v>
      </c>
      <c r="K48" s="3" t="b">
        <v>1</v>
      </c>
      <c r="L48" s="3" t="s">
        <v>45</v>
      </c>
      <c r="M48" s="3" t="s">
        <v>70</v>
      </c>
      <c r="N48" s="3"/>
      <c r="O48" s="3"/>
    </row>
    <row r="49" spans="1:15" ht="15.75" hidden="1" customHeight="1" x14ac:dyDescent="0.45">
      <c r="A49" s="2">
        <v>46387</v>
      </c>
      <c r="B49" s="3" t="str">
        <f t="shared" si="0"/>
        <v>Torsdag</v>
      </c>
      <c r="C49" s="3" t="s">
        <v>35</v>
      </c>
      <c r="D49" s="3" t="s">
        <v>36</v>
      </c>
      <c r="E49" s="3" t="s">
        <v>37</v>
      </c>
      <c r="F49" s="3">
        <v>60220113</v>
      </c>
      <c r="G49" s="3">
        <v>19</v>
      </c>
      <c r="H49" s="3" t="s">
        <v>23</v>
      </c>
      <c r="I49" s="3" t="s">
        <v>87</v>
      </c>
      <c r="J49" s="3" t="s">
        <v>112</v>
      </c>
      <c r="K49" s="3" t="b">
        <v>1</v>
      </c>
      <c r="L49" s="3" t="s">
        <v>45</v>
      </c>
      <c r="M49" s="3"/>
      <c r="N49" s="3"/>
      <c r="O49" s="3" t="s">
        <v>6</v>
      </c>
    </row>
    <row r="50" spans="1:15" ht="15.75" customHeight="1" x14ac:dyDescent="0.45">
      <c r="A50" s="2">
        <v>46281</v>
      </c>
      <c r="B50" s="3" t="str">
        <f t="shared" si="0"/>
        <v>Onsdag</v>
      </c>
      <c r="C50" s="3" t="s">
        <v>40</v>
      </c>
      <c r="D50" s="3" t="s">
        <v>41</v>
      </c>
      <c r="E50" s="3" t="s">
        <v>42</v>
      </c>
      <c r="F50" s="3">
        <v>60713060</v>
      </c>
      <c r="G50" s="3">
        <v>15</v>
      </c>
      <c r="H50" s="3" t="s">
        <v>23</v>
      </c>
      <c r="I50" s="3" t="s">
        <v>76</v>
      </c>
      <c r="J50" s="3" t="s">
        <v>111</v>
      </c>
      <c r="K50" s="3" t="b">
        <v>1</v>
      </c>
      <c r="L50" s="3" t="s">
        <v>45</v>
      </c>
      <c r="M50" s="3" t="s">
        <v>46</v>
      </c>
      <c r="N50" s="3"/>
      <c r="O50" s="3" t="s">
        <v>6</v>
      </c>
    </row>
    <row r="51" spans="1:15" ht="15.75" customHeight="1" x14ac:dyDescent="0.45">
      <c r="A51" s="2">
        <v>46283</v>
      </c>
      <c r="B51" s="3" t="str">
        <f t="shared" si="0"/>
        <v>Fredag</v>
      </c>
      <c r="C51" s="6">
        <v>0.84375</v>
      </c>
      <c r="D51" s="3" t="s">
        <v>53</v>
      </c>
      <c r="E51" s="3" t="s">
        <v>54</v>
      </c>
      <c r="F51" s="3">
        <v>60716058</v>
      </c>
      <c r="G51" s="3">
        <v>15</v>
      </c>
      <c r="H51" s="3" t="s">
        <v>23</v>
      </c>
      <c r="I51" s="3" t="s">
        <v>77</v>
      </c>
      <c r="J51" s="3" t="s">
        <v>110</v>
      </c>
      <c r="K51" s="3" t="b">
        <v>0</v>
      </c>
      <c r="L51" s="3" t="s">
        <v>45</v>
      </c>
      <c r="M51" s="3" t="s">
        <v>57</v>
      </c>
      <c r="N51" s="3"/>
      <c r="O51" s="3"/>
    </row>
    <row r="52" spans="1:15" ht="15.75" hidden="1" customHeight="1" x14ac:dyDescent="0.45">
      <c r="A52" s="2">
        <v>46287</v>
      </c>
      <c r="B52" s="3" t="str">
        <f t="shared" si="0"/>
        <v>Tisdag</v>
      </c>
      <c r="C52" s="3" t="s">
        <v>48</v>
      </c>
      <c r="D52" s="3" t="s">
        <v>36</v>
      </c>
      <c r="E52" s="3" t="s">
        <v>37</v>
      </c>
      <c r="F52" s="3">
        <v>60220119</v>
      </c>
      <c r="G52" s="3">
        <v>20</v>
      </c>
      <c r="H52" s="3" t="s">
        <v>29</v>
      </c>
      <c r="I52" s="3" t="s">
        <v>91</v>
      </c>
      <c r="J52" s="3" t="s">
        <v>50</v>
      </c>
      <c r="K52" s="3" t="b">
        <v>1</v>
      </c>
      <c r="L52" s="4"/>
      <c r="M52" s="4"/>
      <c r="N52" s="4"/>
      <c r="O52" s="4"/>
    </row>
    <row r="53" spans="1:15" ht="15.75" customHeight="1" x14ac:dyDescent="0.45">
      <c r="A53" s="2">
        <v>46316</v>
      </c>
      <c r="B53" s="3" t="str">
        <f t="shared" si="0"/>
        <v>Onsdag</v>
      </c>
      <c r="C53" s="3" t="s">
        <v>48</v>
      </c>
      <c r="D53" s="3" t="s">
        <v>41</v>
      </c>
      <c r="E53" s="3" t="s">
        <v>42</v>
      </c>
      <c r="F53" s="3">
        <v>60713064</v>
      </c>
      <c r="G53" s="3">
        <v>16</v>
      </c>
      <c r="H53" s="3" t="s">
        <v>29</v>
      </c>
      <c r="I53" s="3" t="s">
        <v>68</v>
      </c>
      <c r="J53" s="3" t="s">
        <v>50</v>
      </c>
      <c r="K53" s="3" t="b">
        <v>1</v>
      </c>
      <c r="L53" s="4"/>
      <c r="M53" s="3" t="s">
        <v>67</v>
      </c>
      <c r="N53" s="4"/>
      <c r="O53" s="4"/>
    </row>
    <row r="54" spans="1:15" ht="15.75" customHeight="1" x14ac:dyDescent="0.45">
      <c r="A54" s="2">
        <v>46290</v>
      </c>
      <c r="B54" s="3" t="str">
        <f t="shared" si="0"/>
        <v>Fredag</v>
      </c>
      <c r="C54" s="3" t="s">
        <v>48</v>
      </c>
      <c r="D54" s="3" t="s">
        <v>53</v>
      </c>
      <c r="E54" s="3" t="s">
        <v>54</v>
      </c>
      <c r="F54" s="3">
        <v>60716062</v>
      </c>
      <c r="G54" s="3">
        <v>16</v>
      </c>
      <c r="H54" s="3" t="s">
        <v>29</v>
      </c>
      <c r="I54" s="3" t="s">
        <v>71</v>
      </c>
      <c r="J54" s="3" t="s">
        <v>50</v>
      </c>
      <c r="K54" s="3" t="b">
        <v>1</v>
      </c>
      <c r="L54" s="4"/>
      <c r="M54" s="3" t="s">
        <v>60</v>
      </c>
      <c r="N54" s="4"/>
      <c r="O54" s="4"/>
    </row>
    <row r="55" spans="1:15" ht="15.75" hidden="1" customHeight="1" x14ac:dyDescent="0.45">
      <c r="A55" s="2">
        <v>46295</v>
      </c>
      <c r="B55" s="3" t="str">
        <f t="shared" si="0"/>
        <v>Onsdag</v>
      </c>
      <c r="C55" s="8">
        <v>0.84375</v>
      </c>
      <c r="D55" s="3" t="s">
        <v>36</v>
      </c>
      <c r="E55" s="3" t="s">
        <v>37</v>
      </c>
      <c r="F55" s="3">
        <v>60220066</v>
      </c>
      <c r="G55" s="3">
        <v>11</v>
      </c>
      <c r="H55" s="3" t="s">
        <v>23</v>
      </c>
      <c r="I55" s="3" t="s">
        <v>97</v>
      </c>
      <c r="J55" s="3" t="s">
        <v>98</v>
      </c>
      <c r="K55" s="3" t="b">
        <v>1</v>
      </c>
      <c r="L55" s="3" t="s">
        <v>45</v>
      </c>
      <c r="M55" s="3"/>
      <c r="N55" s="3"/>
      <c r="O55" s="3"/>
    </row>
    <row r="56" spans="1:15" ht="15.75" customHeight="1" x14ac:dyDescent="0.45">
      <c r="A56" s="2">
        <v>46297</v>
      </c>
      <c r="B56" s="3" t="str">
        <f t="shared" si="0"/>
        <v>Fredag</v>
      </c>
      <c r="C56" s="3" t="s">
        <v>113</v>
      </c>
      <c r="D56" s="3" t="s">
        <v>53</v>
      </c>
      <c r="E56" s="3" t="s">
        <v>54</v>
      </c>
      <c r="F56" s="3">
        <v>60716068</v>
      </c>
      <c r="G56" s="3">
        <v>17</v>
      </c>
      <c r="H56" s="3" t="s">
        <v>23</v>
      </c>
      <c r="I56" s="3" t="s">
        <v>59</v>
      </c>
      <c r="J56" s="3" t="s">
        <v>114</v>
      </c>
      <c r="K56" s="3" t="b">
        <v>1</v>
      </c>
      <c r="L56" s="3" t="s">
        <v>45</v>
      </c>
      <c r="M56" s="3" t="s">
        <v>64</v>
      </c>
      <c r="N56" s="3"/>
      <c r="O56" s="3" t="s">
        <v>5</v>
      </c>
    </row>
    <row r="57" spans="1:15" ht="15.75" customHeight="1" x14ac:dyDescent="0.45">
      <c r="A57" s="2">
        <v>46297</v>
      </c>
      <c r="B57" s="3" t="str">
        <f t="shared" si="0"/>
        <v>Fredag</v>
      </c>
      <c r="C57" s="3" t="s">
        <v>52</v>
      </c>
      <c r="D57" s="3" t="s">
        <v>41</v>
      </c>
      <c r="E57" s="3" t="s">
        <v>42</v>
      </c>
      <c r="F57" s="3">
        <v>60713066</v>
      </c>
      <c r="G57" s="3">
        <v>17</v>
      </c>
      <c r="H57" s="3" t="s">
        <v>23</v>
      </c>
      <c r="I57" s="3" t="s">
        <v>66</v>
      </c>
      <c r="J57" s="3" t="s">
        <v>115</v>
      </c>
      <c r="K57" s="3" t="b">
        <v>1</v>
      </c>
      <c r="L57" s="3" t="s">
        <v>45</v>
      </c>
      <c r="M57" s="3" t="s">
        <v>70</v>
      </c>
      <c r="N57" s="3"/>
      <c r="O57" s="3" t="s">
        <v>5</v>
      </c>
    </row>
    <row r="58" spans="1:15" ht="15.75" hidden="1" customHeight="1" x14ac:dyDescent="0.45">
      <c r="A58" s="2">
        <v>46299</v>
      </c>
      <c r="B58" s="3" t="str">
        <f t="shared" si="0"/>
        <v>Söndag</v>
      </c>
      <c r="C58" s="3" t="s">
        <v>116</v>
      </c>
      <c r="D58" s="3" t="s">
        <v>36</v>
      </c>
      <c r="E58" s="3" t="s">
        <v>37</v>
      </c>
      <c r="F58" s="3">
        <v>60220122</v>
      </c>
      <c r="G58" s="3">
        <v>21</v>
      </c>
      <c r="H58" s="3" t="s">
        <v>23</v>
      </c>
      <c r="I58" s="3" t="s">
        <v>94</v>
      </c>
      <c r="J58" s="3" t="s">
        <v>117</v>
      </c>
      <c r="K58" s="3" t="b">
        <v>1</v>
      </c>
      <c r="L58" s="4"/>
      <c r="M58" s="4"/>
      <c r="N58" s="4"/>
      <c r="O58" s="4"/>
    </row>
    <row r="59" spans="1:15" ht="15.75" customHeight="1" x14ac:dyDescent="0.45">
      <c r="A59" s="2">
        <v>46301</v>
      </c>
      <c r="B59" s="3" t="str">
        <f t="shared" si="0"/>
        <v>Tisdag</v>
      </c>
      <c r="C59" s="3" t="s">
        <v>48</v>
      </c>
      <c r="D59" s="3" t="s">
        <v>53</v>
      </c>
      <c r="E59" s="3" t="s">
        <v>54</v>
      </c>
      <c r="F59" s="3">
        <v>60716069</v>
      </c>
      <c r="G59" s="3">
        <v>18</v>
      </c>
      <c r="H59" s="3" t="s">
        <v>29</v>
      </c>
      <c r="I59" s="3" t="s">
        <v>55</v>
      </c>
      <c r="J59" s="3" t="s">
        <v>50</v>
      </c>
      <c r="K59" s="3" t="b">
        <v>1</v>
      </c>
      <c r="L59" s="4"/>
      <c r="M59" s="3" t="s">
        <v>78</v>
      </c>
      <c r="N59" s="4"/>
      <c r="O59" s="4"/>
    </row>
    <row r="60" spans="1:15" ht="15.75" customHeight="1" x14ac:dyDescent="0.45">
      <c r="A60" s="2">
        <v>46303</v>
      </c>
      <c r="B60" s="3" t="str">
        <f t="shared" si="0"/>
        <v>Torsdag</v>
      </c>
      <c r="C60" s="3" t="s">
        <v>48</v>
      </c>
      <c r="D60" s="3" t="s">
        <v>41</v>
      </c>
      <c r="E60" s="3" t="s">
        <v>42</v>
      </c>
      <c r="F60" s="3">
        <v>60713071</v>
      </c>
      <c r="G60" s="3">
        <v>18</v>
      </c>
      <c r="H60" s="3" t="s">
        <v>29</v>
      </c>
      <c r="I60" s="3" t="s">
        <v>43</v>
      </c>
      <c r="J60" s="3" t="s">
        <v>50</v>
      </c>
      <c r="K60" s="3" t="b">
        <v>1</v>
      </c>
      <c r="L60" s="4"/>
      <c r="M60" s="3" t="s">
        <v>46</v>
      </c>
      <c r="N60" s="4"/>
      <c r="O60" s="4"/>
    </row>
    <row r="61" spans="1:15" ht="15.75" hidden="1" customHeight="1" x14ac:dyDescent="0.45">
      <c r="A61" s="2">
        <v>46306</v>
      </c>
      <c r="B61" s="3" t="str">
        <f t="shared" si="0"/>
        <v>Söndag</v>
      </c>
      <c r="C61" s="3" t="s">
        <v>118</v>
      </c>
      <c r="D61" s="3" t="s">
        <v>36</v>
      </c>
      <c r="E61" s="3" t="s">
        <v>37</v>
      </c>
      <c r="F61" s="3">
        <v>60220132</v>
      </c>
      <c r="G61" s="3">
        <v>22</v>
      </c>
      <c r="H61" s="3" t="s">
        <v>29</v>
      </c>
      <c r="I61" s="3" t="s">
        <v>97</v>
      </c>
      <c r="J61" s="3" t="s">
        <v>50</v>
      </c>
      <c r="K61" s="3" t="b">
        <v>1</v>
      </c>
      <c r="L61" s="4"/>
      <c r="M61" s="4"/>
      <c r="N61" s="4"/>
      <c r="O61" s="4"/>
    </row>
    <row r="62" spans="1:15" ht="15.75" hidden="1" customHeight="1" x14ac:dyDescent="0.45">
      <c r="A62" s="10"/>
      <c r="B62" s="12" t="str">
        <f t="shared" si="0"/>
        <v/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ht="15.75" hidden="1" customHeight="1" x14ac:dyDescent="0.45">
      <c r="A63" s="2"/>
      <c r="B63" s="3" t="str">
        <f t="shared" si="0"/>
        <v/>
      </c>
      <c r="C63" s="3"/>
      <c r="D63" s="3"/>
      <c r="E63" s="3"/>
      <c r="F63" s="3"/>
      <c r="G63" s="3"/>
      <c r="H63" s="3"/>
      <c r="I63" s="3"/>
      <c r="J63" s="3"/>
      <c r="K63" s="3"/>
    </row>
    <row r="64" spans="1:15" ht="15.75" hidden="1" customHeight="1" x14ac:dyDescent="0.45">
      <c r="A64" s="10"/>
      <c r="B64" s="12" t="str">
        <f t="shared" si="0"/>
        <v/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</sheetData>
  <autoFilter ref="A1:O64" xr:uid="{00000000-0009-0000-0000-000001000000}">
    <filterColumn colId="3">
      <filters>
        <filter val="Svart"/>
        <filter val="Vit"/>
      </filters>
    </filterColumn>
    <sortState xmlns:xlrd2="http://schemas.microsoft.com/office/spreadsheetml/2017/richdata2" ref="A2:O64">
      <sortCondition ref="A1:A64"/>
    </sortState>
  </autoFilter>
  <conditionalFormatting sqref="A2:O33 P8:P9 P11:P12 P15:P16 P32:P35 A34:D35 F34:O35 A36:O64">
    <cfRule type="expression" dxfId="15" priority="1">
      <formula>$O2="ALLA TRE (DAM+VIT+SVART)"</formula>
    </cfRule>
    <cfRule type="expression" dxfId="14" priority="2">
      <formula>$O2="DAM-VIT"</formula>
    </cfRule>
    <cfRule type="expression" dxfId="13" priority="3">
      <formula>$O2="DAM-SVART"</formula>
    </cfRule>
    <cfRule type="expression" dxfId="12" priority="4">
      <formula>$O2="VIT-SVART"</formula>
    </cfRule>
    <cfRule type="expression" dxfId="11" priority="5">
      <formula>AND($O2&lt;&gt;"",ISNUMBER(SEARCH(",",$O2)))</formula>
    </cfRule>
    <cfRule type="expression" dxfId="10" priority="6">
      <formula>$D2="Dam"</formula>
    </cfRule>
    <cfRule type="expression" dxfId="9" priority="7">
      <formula>$D2="Vit"</formula>
    </cfRule>
    <cfRule type="expression" dxfId="8" priority="8">
      <formula>$D2="Svart"</formula>
    </cfRule>
  </conditionalFormatting>
  <conditionalFormatting sqref="E34:E35">
    <cfRule type="expression" dxfId="7" priority="25">
      <formula>$O33="ALLA TRE (DAM+VIT+SVART)"</formula>
    </cfRule>
    <cfRule type="expression" dxfId="6" priority="26">
      <formula>$O33="DAM-VIT"</formula>
    </cfRule>
    <cfRule type="expression" dxfId="5" priority="27">
      <formula>$O33="DAM-SVART"</formula>
    </cfRule>
    <cfRule type="expression" dxfId="4" priority="28">
      <formula>$O33="VIT-SVART"</formula>
    </cfRule>
    <cfRule type="expression" dxfId="3" priority="29">
      <formula>AND($O33&lt;&gt;"",ISNUMBER(SEARCH(",",$O33)))</formula>
    </cfRule>
    <cfRule type="expression" dxfId="2" priority="30">
      <formula>$D33="Dam"</formula>
    </cfRule>
    <cfRule type="expression" dxfId="1" priority="31">
      <formula>$D33="Vit"</formula>
    </cfRule>
    <cfRule type="expression" dxfId="0" priority="32">
      <formula>$D33="Svart"</formula>
    </cfRule>
  </conditionalFormatting>
  <pageMargins left="0.16824335806944998" right="0.33648671613889997" top="9.6139061753971425E-2" bottom="0.20429550622718926" header="0" footer="0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Hansson</cp:lastModifiedBy>
  <dcterms:created xsi:type="dcterms:W3CDTF">2026-03-04T12:49:32Z</dcterms:created>
  <dcterms:modified xsi:type="dcterms:W3CDTF">2026-09-16T12:31:43Z</dcterms:modified>
</cp:coreProperties>
</file>